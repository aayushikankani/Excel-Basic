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\Desktop\"/>
    </mc:Choice>
  </mc:AlternateContent>
  <xr:revisionPtr revIDLastSave="0" documentId="13_ncr:1_{3C90408B-8D2C-4B00-8229-FCDF31CF7354}" xr6:coauthVersionLast="47" xr6:coauthVersionMax="47" xr10:uidLastSave="{00000000-0000-0000-0000-000000000000}"/>
  <bookViews>
    <workbookView xWindow="-108" yWindow="-108" windowWidth="23256" windowHeight="12456" activeTab="1" xr2:uid="{A05BB59A-8188-47FF-AB2A-B48B88A719BA}"/>
  </bookViews>
  <sheets>
    <sheet name="Q1" sheetId="12" r:id="rId1"/>
    <sheet name="Q2" sheetId="13" r:id="rId2"/>
    <sheet name="Q3" sheetId="10" r:id="rId3"/>
    <sheet name="Q4-Q6" sheetId="11" r:id="rId4"/>
    <sheet name="Q7" sheetId="8" r:id="rId5"/>
    <sheet name="Q8" sheetId="9" r:id="rId6"/>
  </sheets>
  <definedNames>
    <definedName name="_xlcn.WorksheetConnection_Book1Table2" hidden="1">Table2</definedName>
    <definedName name="_xlcn.WorksheetConnection_Sheet1A14G64" hidden="1">'Q2'!$A$14:$G$64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4:$G$64"/>
          <x15:modelTable id="Table2" name="Table2" connection="WorksheetConnection_Book1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" l="1"/>
  <c r="E2" i="13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2" i="11"/>
  <c r="K2" i="11"/>
  <c r="H2" i="11"/>
  <c r="J51" i="11"/>
  <c r="J4" i="11"/>
  <c r="J16" i="11"/>
  <c r="J28" i="11"/>
  <c r="J40" i="11"/>
  <c r="J43" i="11"/>
  <c r="J46" i="11"/>
  <c r="J49" i="11"/>
  <c r="J44" i="11"/>
  <c r="J6" i="11"/>
  <c r="J12" i="11"/>
  <c r="J18" i="11"/>
  <c r="J21" i="11"/>
  <c r="J24" i="11"/>
  <c r="J30" i="11"/>
  <c r="J33" i="11"/>
  <c r="J36" i="11"/>
  <c r="H3" i="11"/>
  <c r="J45" i="11"/>
  <c r="J7" i="11"/>
  <c r="J13" i="11"/>
  <c r="J19" i="11"/>
  <c r="J25" i="11"/>
  <c r="J34" i="11"/>
  <c r="J37" i="11"/>
  <c r="J5" i="11"/>
  <c r="J8" i="11"/>
  <c r="J11" i="11"/>
  <c r="J14" i="11"/>
  <c r="J17" i="11"/>
  <c r="J20" i="11"/>
  <c r="J23" i="11"/>
  <c r="J26" i="11"/>
  <c r="J29" i="11"/>
  <c r="J32" i="11"/>
  <c r="J35" i="11"/>
  <c r="J38" i="11"/>
  <c r="J41" i="11"/>
  <c r="J47" i="11"/>
  <c r="J50" i="11"/>
  <c r="J9" i="11"/>
  <c r="J2" i="11"/>
  <c r="L2" i="11"/>
  <c r="J42" i="11"/>
  <c r="J48" i="11"/>
  <c r="J10" i="11"/>
  <c r="J22" i="11"/>
  <c r="J31" i="11"/>
  <c r="G3" i="10"/>
  <c r="F2" i="13"/>
  <c r="J3" i="11"/>
  <c r="J15" i="11"/>
  <c r="J27" i="11"/>
  <c r="J39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A1B35-FE86-4CBD-B7FC-C36B8286DEC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9F21226-A9BD-4E1C-9E54-080EEE82047E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"/>
        </x15:connection>
      </ext>
    </extLst>
  </connection>
  <connection id="3" xr16:uid="{C254A1F4-2458-4685-ABDF-3820ADFA0DC7}" name="WorksheetConnection_Sheet1!$A$14:$G$6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4G64"/>
        </x15:connection>
      </ext>
    </extLst>
  </connection>
</connections>
</file>

<file path=xl/sharedStrings.xml><?xml version="1.0" encoding="utf-8"?>
<sst xmlns="http://schemas.openxmlformats.org/spreadsheetml/2006/main" count="184" uniqueCount="84">
  <si>
    <t xml:space="preserve">Vehical </t>
  </si>
  <si>
    <t>Price</t>
  </si>
  <si>
    <t>Car</t>
  </si>
  <si>
    <t>Bicycle</t>
  </si>
  <si>
    <t>Auto- Rickshaw</t>
  </si>
  <si>
    <t>Item</t>
  </si>
  <si>
    <t>Sales</t>
  </si>
  <si>
    <t>Item A</t>
  </si>
  <si>
    <t>Item B</t>
  </si>
  <si>
    <t>Item C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</si>
  <si>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</si>
  <si>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</si>
  <si>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</si>
  <si>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</si>
  <si>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</si>
  <si>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</si>
  <si>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</si>
  <si>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</si>
  <si>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</si>
  <si>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</si>
  <si>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</si>
  <si>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</si>
  <si>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</si>
  <si>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</si>
  <si>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</si>
  <si>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</si>
  <si>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</si>
  <si>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</si>
  <si>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</si>
  <si>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</si>
  <si>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</si>
  <si>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</si>
  <si>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</si>
  <si>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</si>
  <si>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</si>
  <si>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</si>
  <si>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</si>
  <si>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</si>
  <si>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</si>
  <si>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</si>
  <si>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</si>
  <si>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</si>
  <si>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</si>
  <si>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</si>
  <si>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</si>
  <si>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</si>
  <si>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</si>
  <si>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</si>
  <si>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</si>
  <si>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</si>
  <si>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</si>
  <si>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</si>
  <si>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</si>
  <si>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</si>
  <si>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</si>
  <si>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</si>
  <si>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</si>
  <si>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</si>
  <si>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</si>
  <si>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</si>
  <si>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</si>
  <si>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</si>
  <si>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</si>
  <si>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</si>
  <si>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</si>
  <si>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</si>
  <si>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</si>
  <si>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</si>
  <si>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</si>
  <si>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</si>
  <si>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</si>
  <si>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</si>
  <si>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</si>
  <si>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</si>
  <si>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</si>
  <si>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</si>
  <si>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Q)2</t>
  </si>
  <si>
    <t>Q)3</t>
  </si>
  <si>
    <t>Row Labels</t>
  </si>
  <si>
    <t>Grand Total</t>
  </si>
  <si>
    <t>Sum of Total Sales</t>
  </si>
  <si>
    <t>Total Sales (Q5)</t>
  </si>
  <si>
    <t>(Q6)</t>
  </si>
  <si>
    <t>(Q4)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</si>
</sst>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Basics assignment.xlsx]Q7!PivotTable7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'Q7'!$A$4:$A$9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'Q7'!$B$4:$B$9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1-4860-BA87-F236D60E6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646032"/>
        <c:axId val="289662832"/>
      </c:barChart>
      <c:catAx>
        <c:axId val="28964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62832"/>
        <c:crosses val="autoZero"/>
        <c:auto val="1"/>
        <c:lblAlgn val="ctr"/>
        <c:lblOffset val="100"/>
        <c:noMultiLvlLbl val="0"/>
      </c:catAx>
      <c:valAx>
        <c:axId val="2896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4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Basics assignment.xlsx]Q8!PivotTable8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'Q8'!$B$3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'Q8'!$A$4:$A$54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'Q8'!$B$4:$B$54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2-4E9E-8E4B-7DDC74FD4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663792"/>
        <c:axId val="289661872"/>
      </c:lineChart>
      <c:catAx>
        <c:axId val="28966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61872"/>
        <c:crosses val="autoZero"/>
        <c:auto val="1"/>
        <c:lblAlgn val="ctr"/>
        <c:lblOffset val="100"/>
        <c:noMultiLvlLbl val="0"/>
      </c:catAx>
      <c:valAx>
        <c:axId val="28966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6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0</xdr:row>
      <xdr:rowOff>167640</xdr:rowOff>
    </xdr:from>
    <xdr:to>
      <xdr:col>21</xdr:col>
      <xdr:colOff>548640</xdr:colOff>
      <xdr:row>25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FF9DCF-7DAA-EB4C-E5D7-F12E481C3F11}"/>
            </a:ext>
          </a:extLst>
        </xdr:cNvPr>
        <xdr:cNvSpPr txBox="1"/>
      </xdr:nvSpPr>
      <xdr:spPr>
        <a:xfrm>
          <a:off x="1264920" y="167640"/>
          <a:ext cx="12085320" cy="4450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Q1)Explain the difference between Relative, Absolute and Mixed Cell Referencing?</a:t>
          </a:r>
        </a:p>
        <a:p>
          <a:endParaRPr lang="en-I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difference shows up when you copy or drag a formula to another cell.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A)Relative Cell Referencing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 =A1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Both the column and row can change when you copy the formula.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the default behavior.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happens: If you copy =A1 from B2 to C3, it becomes =B2.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it when: You want the formula to adjust automatically (e.g., calculating totals for each row).</a:t>
          </a:r>
        </a:p>
        <a:p>
          <a:endParaRPr lang="en-I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B)Absolute Cell Referencing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Example= $A$1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Neither the column nor the row changes when you copy the formula.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$ signs lock the reference.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happens: No matter where you copy it, =1 always points to cell A1.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it when: You’re referencing a constant value, like a tax rate, discount, or fixed multiplier.</a:t>
          </a:r>
        </a:p>
        <a:p>
          <a:endParaRPr lang="en-I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C)Mixed Cell Referencing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Examples: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=$A1 → column locked, row can change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=A$1 → row locked, column can change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happens: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Copy =$A1 down → row changes, column stays A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Copy =A$1 across → column changes, row stays 1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it when: You’re working with tables, matrices, or formulas that need one fixed dimension (like multiplication tables).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1</xdr:row>
      <xdr:rowOff>110490</xdr:rowOff>
    </xdr:from>
    <xdr:to>
      <xdr:col>11</xdr:col>
      <xdr:colOff>30480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1F085-E873-40AC-AC88-C3C0DBEAE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41910</xdr:rowOff>
    </xdr:from>
    <xdr:to>
      <xdr:col>11</xdr:col>
      <xdr:colOff>228600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ABECD4-5084-1D13-915F-99B813311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yushi Kankani" refreshedDate="46062.935728819444" createdVersion="8" refreshedVersion="8" minRefreshableVersion="3" recordCount="50" xr:uid="{914B3B04-DCD5-4945-A829-C636DBAE083B}">
  <cacheSource type="worksheet">
    <worksheetSource ref="A14:H64" sheet="Q2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x v="0"/>
    <n v="500"/>
  </r>
  <r>
    <n v="1002"/>
    <s v="Neha Verma"/>
    <s v="South"/>
    <x v="1"/>
    <n v="20"/>
    <n v="10"/>
    <x v="1"/>
    <n v="200"/>
  </r>
  <r>
    <n v="1003"/>
    <s v="Rahul Singh"/>
    <s v="East"/>
    <x v="2"/>
    <n v="15"/>
    <n v="25"/>
    <x v="2"/>
    <n v="375"/>
  </r>
  <r>
    <n v="1004"/>
    <s v="Pooja Mehta"/>
    <s v="West"/>
    <x v="0"/>
    <n v="5"/>
    <n v="50"/>
    <x v="3"/>
    <n v="250"/>
  </r>
  <r>
    <n v="1005"/>
    <s v="Ankit Jain"/>
    <s v="North"/>
    <x v="3"/>
    <n v="30"/>
    <n v="5"/>
    <x v="4"/>
    <n v="150"/>
  </r>
  <r>
    <n v="1006"/>
    <s v="Sneha Patel"/>
    <s v="South"/>
    <x v="0"/>
    <n v="12"/>
    <n v="50"/>
    <x v="5"/>
    <n v="600"/>
  </r>
  <r>
    <n v="1007"/>
    <s v="Vikas Gupta"/>
    <s v="East"/>
    <x v="4"/>
    <n v="25"/>
    <n v="8"/>
    <x v="6"/>
    <n v="200"/>
  </r>
  <r>
    <n v="1008"/>
    <s v="Meera Nair"/>
    <s v="West"/>
    <x v="1"/>
    <n v="18"/>
    <n v="10"/>
    <x v="7"/>
    <n v="180"/>
  </r>
  <r>
    <n v="1009"/>
    <s v="Anjali Rao"/>
    <s v="North"/>
    <x v="2"/>
    <n v="22"/>
    <n v="25"/>
    <x v="8"/>
    <n v="550"/>
  </r>
  <r>
    <n v="1010"/>
    <s v="Manoj Das"/>
    <s v="South"/>
    <x v="0"/>
    <n v="8"/>
    <n v="50"/>
    <x v="9"/>
    <n v="400"/>
  </r>
  <r>
    <n v="1011"/>
    <s v="Ritika Sen"/>
    <s v="East"/>
    <x v="3"/>
    <n v="40"/>
    <n v="5"/>
    <x v="10"/>
    <n v="200"/>
  </r>
  <r>
    <n v="1012"/>
    <s v="Karan Malhotra"/>
    <s v="West"/>
    <x v="4"/>
    <n v="35"/>
    <n v="8"/>
    <x v="11"/>
    <n v="280"/>
  </r>
  <r>
    <n v="1013"/>
    <s v="Aryan Joshi"/>
    <s v="North"/>
    <x v="0"/>
    <n v="14"/>
    <n v="50"/>
    <x v="12"/>
    <n v="700"/>
  </r>
  <r>
    <n v="1014"/>
    <s v="Divya Kapoor"/>
    <s v="South"/>
    <x v="1"/>
    <n v="28"/>
    <n v="10"/>
    <x v="13"/>
    <n v="280"/>
  </r>
  <r>
    <n v="1015"/>
    <s v="Sahil Arora"/>
    <s v="East"/>
    <x v="2"/>
    <n v="12"/>
    <n v="25"/>
    <x v="14"/>
    <n v="300"/>
  </r>
  <r>
    <n v="1016"/>
    <s v="Muskan Jain"/>
    <s v="West"/>
    <x v="3"/>
    <n v="25"/>
    <n v="5"/>
    <x v="15"/>
    <n v="125"/>
  </r>
  <r>
    <n v="1017"/>
    <s v="Rohan Gupta"/>
    <s v="North"/>
    <x v="4"/>
    <n v="20"/>
    <n v="8"/>
    <x v="16"/>
    <n v="160"/>
  </r>
  <r>
    <n v="1018"/>
    <s v="Nidhi Sharma"/>
    <s v="South"/>
    <x v="0"/>
    <n v="10"/>
    <n v="50"/>
    <x v="17"/>
    <n v="500"/>
  </r>
  <r>
    <n v="1019"/>
    <s v="Tarun Verma"/>
    <s v="East"/>
    <x v="1"/>
    <n v="15"/>
    <n v="10"/>
    <x v="18"/>
    <n v="150"/>
  </r>
  <r>
    <n v="1020"/>
    <s v="Simran Kaur"/>
    <s v="West"/>
    <x v="2"/>
    <n v="18"/>
    <n v="25"/>
    <x v="19"/>
    <n v="450"/>
  </r>
  <r>
    <n v="1021"/>
    <s v="Deepak Rao"/>
    <s v="North"/>
    <x v="0"/>
    <n v="9"/>
    <n v="50"/>
    <x v="20"/>
    <n v="450"/>
  </r>
  <r>
    <n v="1022"/>
    <s v="Payal Mehta"/>
    <s v="South"/>
    <x v="3"/>
    <n v="35"/>
    <n v="5"/>
    <x v="21"/>
    <n v="175"/>
  </r>
  <r>
    <n v="1023"/>
    <s v="Aditya Singh"/>
    <s v="East"/>
    <x v="4"/>
    <n v="30"/>
    <n v="8"/>
    <x v="22"/>
    <n v="240"/>
  </r>
  <r>
    <n v="1024"/>
    <s v="Shreya Nair"/>
    <s v="West"/>
    <x v="0"/>
    <n v="11"/>
    <n v="50"/>
    <x v="23"/>
    <n v="550"/>
  </r>
  <r>
    <n v="1025"/>
    <s v="Sanjay Kumar"/>
    <s v="North"/>
    <x v="1"/>
    <n v="14"/>
    <n v="10"/>
    <x v="24"/>
    <n v="140"/>
  </r>
  <r>
    <n v="1026"/>
    <s v="Aarti Sharma"/>
    <s v="South"/>
    <x v="2"/>
    <n v="16"/>
    <n v="25"/>
    <x v="25"/>
    <n v="400"/>
  </r>
  <r>
    <n v="1027"/>
    <s v="Rajesh Patel"/>
    <s v="East"/>
    <x v="3"/>
    <n v="22"/>
    <n v="5"/>
    <x v="26"/>
    <n v="110"/>
  </r>
  <r>
    <n v="1028"/>
    <s v="Preeti Joshi"/>
    <s v="West"/>
    <x v="4"/>
    <n v="27"/>
    <n v="8"/>
    <x v="27"/>
    <n v="216"/>
  </r>
  <r>
    <n v="1029"/>
    <s v="Anurag Mishra"/>
    <s v="North"/>
    <x v="0"/>
    <n v="13"/>
    <n v="50"/>
    <x v="28"/>
    <n v="650"/>
  </r>
  <r>
    <n v="1030"/>
    <s v="Sanya Kapoor"/>
    <s v="South"/>
    <x v="1"/>
    <n v="32"/>
    <n v="10"/>
    <x v="29"/>
    <n v="320"/>
  </r>
  <r>
    <n v="1031"/>
    <s v="Harsh Yadav"/>
    <s v="East"/>
    <x v="2"/>
    <n v="10"/>
    <n v="25"/>
    <x v="30"/>
    <n v="250"/>
  </r>
  <r>
    <n v="1032"/>
    <s v="Kajal Rani"/>
    <s v="West"/>
    <x v="3"/>
    <n v="18"/>
    <n v="5"/>
    <x v="31"/>
    <n v="90"/>
  </r>
  <r>
    <n v="1033"/>
    <s v="Varun Sharma"/>
    <s v="North"/>
    <x v="4"/>
    <n v="22"/>
    <n v="8"/>
    <x v="32"/>
    <n v="176"/>
  </r>
  <r>
    <n v="1034"/>
    <s v="Swati Arora"/>
    <s v="South"/>
    <x v="0"/>
    <n v="17"/>
    <n v="50"/>
    <x v="33"/>
    <n v="850"/>
  </r>
  <r>
    <n v="1035"/>
    <s v="Akhil Jain"/>
    <s v="East"/>
    <x v="1"/>
    <n v="19"/>
    <n v="10"/>
    <x v="34"/>
    <n v="190"/>
  </r>
  <r>
    <n v="1036"/>
    <s v="Priyanka Das"/>
    <s v="West"/>
    <x v="2"/>
    <n v="15"/>
    <n v="25"/>
    <x v="35"/>
    <n v="375"/>
  </r>
  <r>
    <n v="1037"/>
    <s v="Ravi Nair"/>
    <s v="North"/>
    <x v="3"/>
    <n v="28"/>
    <n v="5"/>
    <x v="36"/>
    <n v="140"/>
  </r>
  <r>
    <n v="1038"/>
    <s v="Komal Singh"/>
    <s v="South"/>
    <x v="4"/>
    <n v="24"/>
    <n v="8"/>
    <x v="37"/>
    <n v="192"/>
  </r>
  <r>
    <n v="1039"/>
    <s v="Ayesha Khan"/>
    <s v="East"/>
    <x v="0"/>
    <n v="16"/>
    <n v="50"/>
    <x v="38"/>
    <n v="800"/>
  </r>
  <r>
    <n v="1040"/>
    <s v="Arjun Mehta"/>
    <s v="West"/>
    <x v="1"/>
    <n v="27"/>
    <n v="10"/>
    <x v="39"/>
    <n v="270"/>
  </r>
  <r>
    <n v="1041"/>
    <s v="Sonali Gupta"/>
    <s v="North"/>
    <x v="2"/>
    <n v="21"/>
    <n v="25"/>
    <x v="40"/>
    <n v="525"/>
  </r>
  <r>
    <n v="1042"/>
    <s v="Neeraj Kapoor"/>
    <s v="South"/>
    <x v="3"/>
    <n v="30"/>
    <n v="5"/>
    <x v="41"/>
    <n v="150"/>
  </r>
  <r>
    <n v="1043"/>
    <s v="Shruti Sharma"/>
    <s v="East"/>
    <x v="4"/>
    <n v="26"/>
    <n v="8"/>
    <x v="42"/>
    <n v="208"/>
  </r>
  <r>
    <n v="1044"/>
    <s v="Yash Arora"/>
    <s v="West"/>
    <x v="0"/>
    <n v="14"/>
    <n v="50"/>
    <x v="43"/>
    <n v="700"/>
  </r>
  <r>
    <n v="1045"/>
    <s v="Manish Das"/>
    <s v="North"/>
    <x v="1"/>
    <n v="20"/>
    <n v="10"/>
    <x v="44"/>
    <n v="200"/>
  </r>
  <r>
    <n v="1046"/>
    <s v="Rupal Nair"/>
    <s v="South"/>
    <x v="2"/>
    <n v="17"/>
    <n v="25"/>
    <x v="45"/>
    <n v="425"/>
  </r>
  <r>
    <n v="1047"/>
    <s v="Sonia Verma"/>
    <s v="East"/>
    <x v="3"/>
    <n v="19"/>
    <n v="5"/>
    <x v="46"/>
    <n v="95"/>
  </r>
  <r>
    <n v="1048"/>
    <s v="Kunal Singh"/>
    <s v="West"/>
    <x v="4"/>
    <n v="32"/>
    <n v="8"/>
    <x v="47"/>
    <n v="256"/>
  </r>
  <r>
    <n v="1049"/>
    <s v="Ritika Jain"/>
    <s v="North"/>
    <x v="0"/>
    <n v="12"/>
    <n v="50"/>
    <x v="48"/>
    <n v="600"/>
  </r>
  <r>
    <n v="1050"/>
    <s v="Vivek Malhotra"/>
    <s v="South"/>
    <x v="1"/>
    <n v="25"/>
    <n v="10"/>
    <x v="49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BF4C5-BD51-45B2-B0E1-18543D1A984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numFmtId="14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D6179-DF70-4963-82CA-90B78E0B0E8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4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</pivotFields>
  <rowFields count="1">
    <field x="6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59DD37-963B-44F5-AF35-633A0D1A9F5F}" name="Table14610" displayName="Table14610" ref="B1:C4" totalsRowShown="0" headerRowDxfId="0">
  <autoFilter ref="B1:C4" xr:uid="{F659DD37-963B-44F5-AF35-633A0D1A9F5F}"/>
  <tableColumns count="2">
    <tableColumn id="1" xr3:uid="{63E5CAAF-AF46-4955-9E8E-A1D8A5D488C2}" name="Vehical "/>
    <tableColumn id="2" xr3:uid="{399E6F6A-82B6-4514-82C0-38DEC38CB03B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72BBE9-CE23-4F6E-9811-0F44E559C130}" name="Table29" displayName="Table29" ref="B1:D4" totalsRowShown="0">
  <autoFilter ref="B1:D4" xr:uid="{0272BBE9-CE23-4F6E-9811-0F44E559C130}"/>
  <tableColumns count="3">
    <tableColumn id="1" xr3:uid="{7E7651B3-518D-4B7F-8822-734220112BDF}" name="Item"/>
    <tableColumn id="2" xr3:uid="{B8083839-7733-4CEB-86D5-E8257A558E0E}" name="Price"/>
    <tableColumn id="3" xr3:uid="{7227AA4A-FACA-4FD2-B508-5465C12E13E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47C7-3FA8-4E64-A426-9EFA51EB88EB}">
  <dimension ref="A1"/>
  <sheetViews>
    <sheetView workbookViewId="0">
      <selection activeCell="B11" sqref="B11"/>
    </sheetView>
  </sheetViews>
  <sheetFormatPr defaultRowHeight="14.4" x14ac:dyDescent="0.3"/>
  <cols>
    <col min="1" max="1" width="8.8867187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FFA9-FF10-4703-BBEF-3FFF6578D70C}">
  <dimension ref="A1:F4"/>
  <sheetViews>
    <sheetView tabSelected="1" workbookViewId="0">
      <selection activeCell="E2" sqref="E2"/>
    </sheetView>
  </sheetViews>
  <sheetFormatPr defaultRowHeight="14.4" x14ac:dyDescent="0.3"/>
  <cols>
    <col min="2" max="2" width="13.6640625" bestFit="1" customWidth="1"/>
    <col min="3" max="3" width="9.5546875" bestFit="1" customWidth="1"/>
  </cols>
  <sheetData>
    <row r="1" spans="1:6" x14ac:dyDescent="0.3">
      <c r="A1" s="1" t="s">
        <v>76</v>
      </c>
      <c r="B1" s="1" t="s">
        <v>0</v>
      </c>
      <c r="C1" s="1" t="s">
        <v>1</v>
      </c>
      <c r="D1" s="1"/>
    </row>
    <row r="2" spans="1:6" x14ac:dyDescent="0.3">
      <c r="B2" t="s">
        <v>2</v>
      </c>
      <c r="C2">
        <v>500000</v>
      </c>
      <c r="E2" s="6">
        <f>C2+C3</f>
        <v>510500</v>
      </c>
      <c r="F2" t="str">
        <f ca="1">_xlfn.FORMULATEXT(E2)</f>
        <v>=C2+C3</v>
      </c>
    </row>
    <row r="3" spans="1:6" x14ac:dyDescent="0.3">
      <c r="B3" t="s">
        <v>3</v>
      </c>
      <c r="C3">
        <v>10500</v>
      </c>
    </row>
    <row r="4" spans="1:6" x14ac:dyDescent="0.3">
      <c r="B4" t="s">
        <v>4</v>
      </c>
      <c r="C4">
        <v>25000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0317-DDBC-4E8A-972A-B2D73473DC3C}">
  <dimension ref="A1:G4"/>
  <sheetViews>
    <sheetView workbookViewId="0">
      <selection activeCell="G4" sqref="G4"/>
    </sheetView>
  </sheetViews>
  <sheetFormatPr defaultRowHeight="14.4" x14ac:dyDescent="0.3"/>
  <cols>
    <col min="7" max="7" width="41.33203125" bestFit="1" customWidth="1"/>
  </cols>
  <sheetData>
    <row r="1" spans="1:7" x14ac:dyDescent="0.3">
      <c r="A1" s="13" t="s">
        <v>77</v>
      </c>
      <c r="B1" t="s">
        <v>5</v>
      </c>
      <c r="C1" t="s">
        <v>1</v>
      </c>
      <c r="D1" t="s">
        <v>6</v>
      </c>
    </row>
    <row r="2" spans="1:7" x14ac:dyDescent="0.3">
      <c r="B2" t="s">
        <v>7</v>
      </c>
      <c r="C2">
        <v>90</v>
      </c>
      <c r="D2">
        <v>1000</v>
      </c>
    </row>
    <row r="3" spans="1:7" x14ac:dyDescent="0.3">
      <c r="B3" t="s">
        <v>8</v>
      </c>
      <c r="C3">
        <v>150</v>
      </c>
      <c r="D3">
        <v>1200</v>
      </c>
      <c r="F3">
        <f>AVERAGEIFS(D2:D4,C2:C4,"&gt;100",C2:C4,"&lt;300")</f>
        <v>1350</v>
      </c>
      <c r="G3" t="str">
        <f ca="1">_xlfn.FORMULATEXT(F3)</f>
        <v>=AVERAGEIFS(D2:D4,C2:C4,"&gt;100",C2:C4,"&lt;300")</v>
      </c>
    </row>
    <row r="4" spans="1:7" x14ac:dyDescent="0.3">
      <c r="B4" t="s">
        <v>9</v>
      </c>
      <c r="C4">
        <v>250</v>
      </c>
      <c r="D4">
        <v>1500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7CCC-B294-417B-8413-353531574682}">
  <dimension ref="A1:L51"/>
  <sheetViews>
    <sheetView workbookViewId="0">
      <selection activeCell="K2" sqref="K2"/>
    </sheetView>
  </sheetViews>
  <sheetFormatPr defaultRowHeight="14.4" x14ac:dyDescent="0.3"/>
  <cols>
    <col min="1" max="1" width="8.77734375" customWidth="1"/>
    <col min="2" max="2" width="19.21875" customWidth="1"/>
    <col min="4" max="4" width="13.88671875" customWidth="1"/>
    <col min="7" max="7" width="10.33203125" bestFit="1" customWidth="1"/>
    <col min="8" max="8" width="16.21875" bestFit="1" customWidth="1"/>
    <col min="9" max="9" width="12.33203125" customWidth="1"/>
    <col min="11" max="11" width="9" bestFit="1" customWidth="1"/>
  </cols>
  <sheetData>
    <row r="1" spans="1:12" ht="29.4" thickBot="1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8" t="s">
        <v>83</v>
      </c>
      <c r="I1" s="8" t="s">
        <v>81</v>
      </c>
      <c r="J1" s="8"/>
      <c r="K1" s="12" t="s">
        <v>82</v>
      </c>
      <c r="L1" s="12"/>
    </row>
    <row r="2" spans="1:12" ht="29.4" customHeight="1" thickBot="1" x14ac:dyDescent="0.35">
      <c r="A2" s="3">
        <v>1001</v>
      </c>
      <c r="B2" s="4" t="s">
        <v>17</v>
      </c>
      <c r="C2" s="4" t="s">
        <v>18</v>
      </c>
      <c r="D2" s="4" t="s">
        <v>19</v>
      </c>
      <c r="E2" s="3">
        <v>10</v>
      </c>
      <c r="F2" s="3">
        <v>50</v>
      </c>
      <c r="G2" s="5">
        <v>45296</v>
      </c>
      <c r="H2" s="7">
        <f>COUNTA(B2:B51)</f>
        <v>50</v>
      </c>
      <c r="I2" s="7">
        <f>E2*F2</f>
        <v>500</v>
      </c>
      <c r="J2" t="str">
        <f ca="1">_xlfn.FORMULATEXT(I2)</f>
        <v>=E2*F2</v>
      </c>
      <c r="K2">
        <f>SUMIFS(I2:I51,C2:C51,"North",D2:D51,"Notebook")</f>
        <v>2900</v>
      </c>
      <c r="L2" t="str">
        <f ca="1">_xlfn.FORMULATEXT(K2)</f>
        <v>=SUMIFS(I2:I51,C2:C51,"North",D2:D51,"Notebook")</v>
      </c>
    </row>
    <row r="3" spans="1:12" ht="29.4" customHeight="1" thickBot="1" x14ac:dyDescent="0.35">
      <c r="A3" s="3">
        <v>1002</v>
      </c>
      <c r="B3" s="4" t="s">
        <v>20</v>
      </c>
      <c r="C3" s="4" t="s">
        <v>21</v>
      </c>
      <c r="D3" s="4" t="s">
        <v>22</v>
      </c>
      <c r="E3" s="3">
        <v>20</v>
      </c>
      <c r="F3" s="3">
        <v>10</v>
      </c>
      <c r="G3" s="5">
        <v>45297</v>
      </c>
      <c r="H3" s="7" t="str">
        <f ca="1">_xlfn.FORMULATEXT(H2)</f>
        <v>=COUNTA(B2:B51)</v>
      </c>
      <c r="I3" s="7">
        <f t="shared" ref="I3:I51" si="0">E3*F3</f>
        <v>200</v>
      </c>
      <c r="J3" t="str">
        <f t="shared" ref="J3:J51" ca="1" si="1">_xlfn.FORMULATEXT(I3)</f>
        <v>=E3*F3</v>
      </c>
    </row>
    <row r="4" spans="1:12" ht="29.4" customHeight="1" thickBot="1" x14ac:dyDescent="0.35">
      <c r="A4" s="3">
        <v>1003</v>
      </c>
      <c r="B4" s="4" t="s">
        <v>23</v>
      </c>
      <c r="C4" s="4" t="s">
        <v>24</v>
      </c>
      <c r="D4" s="4" t="s">
        <v>25</v>
      </c>
      <c r="E4" s="3">
        <v>15</v>
      </c>
      <c r="F4" s="3">
        <v>25</v>
      </c>
      <c r="G4" s="5">
        <v>45298</v>
      </c>
      <c r="H4" s="7"/>
      <c r="I4" s="7">
        <f t="shared" si="0"/>
        <v>375</v>
      </c>
      <c r="J4" t="str">
        <f t="shared" ca="1" si="1"/>
        <v>=E4*F4</v>
      </c>
    </row>
    <row r="5" spans="1:12" ht="29.4" customHeight="1" thickBot="1" x14ac:dyDescent="0.35">
      <c r="A5" s="3">
        <v>1004</v>
      </c>
      <c r="B5" s="4" t="s">
        <v>26</v>
      </c>
      <c r="C5" s="4" t="s">
        <v>27</v>
      </c>
      <c r="D5" s="4" t="s">
        <v>19</v>
      </c>
      <c r="E5" s="3">
        <v>5</v>
      </c>
      <c r="F5" s="3">
        <v>50</v>
      </c>
      <c r="G5" s="5">
        <v>45299</v>
      </c>
      <c r="H5" s="7"/>
      <c r="I5" s="7">
        <f t="shared" si="0"/>
        <v>250</v>
      </c>
      <c r="J5" t="str">
        <f t="shared" ca="1" si="1"/>
        <v>=E5*F5</v>
      </c>
    </row>
    <row r="6" spans="1:12" ht="15" thickBot="1" x14ac:dyDescent="0.35">
      <c r="A6" s="3">
        <v>1005</v>
      </c>
      <c r="B6" s="4" t="s">
        <v>28</v>
      </c>
      <c r="C6" s="4" t="s">
        <v>18</v>
      </c>
      <c r="D6" s="4" t="s">
        <v>29</v>
      </c>
      <c r="E6" s="3">
        <v>30</v>
      </c>
      <c r="F6" s="3">
        <v>5</v>
      </c>
      <c r="G6" s="5">
        <v>45301</v>
      </c>
      <c r="H6" s="7"/>
      <c r="I6" s="7">
        <f t="shared" si="0"/>
        <v>150</v>
      </c>
      <c r="J6" t="str">
        <f t="shared" ca="1" si="1"/>
        <v>=E6*F6</v>
      </c>
    </row>
    <row r="7" spans="1:12" ht="29.4" customHeight="1" thickBot="1" x14ac:dyDescent="0.35">
      <c r="A7" s="3">
        <v>1006</v>
      </c>
      <c r="B7" s="4" t="s">
        <v>30</v>
      </c>
      <c r="C7" s="4" t="s">
        <v>21</v>
      </c>
      <c r="D7" s="4" t="s">
        <v>19</v>
      </c>
      <c r="E7" s="3">
        <v>12</v>
      </c>
      <c r="F7" s="3">
        <v>50</v>
      </c>
      <c r="G7" s="5">
        <v>45302</v>
      </c>
      <c r="H7" s="7"/>
      <c r="I7" s="7">
        <f t="shared" si="0"/>
        <v>600</v>
      </c>
      <c r="J7" t="str">
        <f t="shared" ca="1" si="1"/>
        <v>=E7*F7</v>
      </c>
    </row>
    <row r="8" spans="1:12" ht="29.4" customHeight="1" thickBot="1" x14ac:dyDescent="0.35">
      <c r="A8" s="3">
        <v>1007</v>
      </c>
      <c r="B8" s="4" t="s">
        <v>31</v>
      </c>
      <c r="C8" s="4" t="s">
        <v>24</v>
      </c>
      <c r="D8" s="4" t="s">
        <v>32</v>
      </c>
      <c r="E8" s="3">
        <v>25</v>
      </c>
      <c r="F8" s="3">
        <v>8</v>
      </c>
      <c r="G8" s="5">
        <v>45304</v>
      </c>
      <c r="H8" s="7"/>
      <c r="I8" s="7">
        <f t="shared" si="0"/>
        <v>200</v>
      </c>
      <c r="J8" t="str">
        <f t="shared" ca="1" si="1"/>
        <v>=E8*F8</v>
      </c>
    </row>
    <row r="9" spans="1:12" ht="29.4" customHeight="1" thickBot="1" x14ac:dyDescent="0.35">
      <c r="A9" s="3">
        <v>1008</v>
      </c>
      <c r="B9" s="4" t="s">
        <v>33</v>
      </c>
      <c r="C9" s="4" t="s">
        <v>27</v>
      </c>
      <c r="D9" s="4" t="s">
        <v>22</v>
      </c>
      <c r="E9" s="3">
        <v>18</v>
      </c>
      <c r="F9" s="3">
        <v>10</v>
      </c>
      <c r="G9" s="5">
        <v>45306</v>
      </c>
      <c r="H9" s="7"/>
      <c r="I9" s="7">
        <f t="shared" si="0"/>
        <v>180</v>
      </c>
      <c r="J9" t="str">
        <f t="shared" ca="1" si="1"/>
        <v>=E9*F9</v>
      </c>
    </row>
    <row r="10" spans="1:12" ht="29.4" customHeight="1" thickBot="1" x14ac:dyDescent="0.35">
      <c r="A10" s="3">
        <v>1009</v>
      </c>
      <c r="B10" s="4" t="s">
        <v>34</v>
      </c>
      <c r="C10" s="4" t="s">
        <v>18</v>
      </c>
      <c r="D10" s="4" t="s">
        <v>25</v>
      </c>
      <c r="E10" s="3">
        <v>22</v>
      </c>
      <c r="F10" s="3">
        <v>25</v>
      </c>
      <c r="G10" s="5">
        <v>45308</v>
      </c>
      <c r="H10" s="7"/>
      <c r="I10" s="7">
        <f t="shared" si="0"/>
        <v>550</v>
      </c>
      <c r="J10" t="str">
        <f t="shared" ca="1" si="1"/>
        <v>=E10*F10</v>
      </c>
    </row>
    <row r="11" spans="1:12" ht="29.4" customHeight="1" thickBot="1" x14ac:dyDescent="0.35">
      <c r="A11" s="3">
        <v>1010</v>
      </c>
      <c r="B11" s="4" t="s">
        <v>35</v>
      </c>
      <c r="C11" s="4" t="s">
        <v>21</v>
      </c>
      <c r="D11" s="4" t="s">
        <v>19</v>
      </c>
      <c r="E11" s="3">
        <v>8</v>
      </c>
      <c r="F11" s="3">
        <v>50</v>
      </c>
      <c r="G11" s="5">
        <v>45309</v>
      </c>
      <c r="H11" s="7"/>
      <c r="I11" s="7">
        <f t="shared" si="0"/>
        <v>400</v>
      </c>
      <c r="J11" t="str">
        <f t="shared" ca="1" si="1"/>
        <v>=E11*F11</v>
      </c>
    </row>
    <row r="12" spans="1:12" ht="15" thickBot="1" x14ac:dyDescent="0.35">
      <c r="A12" s="3">
        <v>1011</v>
      </c>
      <c r="B12" s="4" t="s">
        <v>36</v>
      </c>
      <c r="C12" s="4" t="s">
        <v>24</v>
      </c>
      <c r="D12" s="4" t="s">
        <v>29</v>
      </c>
      <c r="E12" s="3">
        <v>40</v>
      </c>
      <c r="F12" s="3">
        <v>5</v>
      </c>
      <c r="G12" s="5">
        <v>45310</v>
      </c>
      <c r="H12" s="7"/>
      <c r="I12" s="7">
        <f t="shared" si="0"/>
        <v>200</v>
      </c>
      <c r="J12" t="str">
        <f t="shared" ca="1" si="1"/>
        <v>=E12*F12</v>
      </c>
    </row>
    <row r="13" spans="1:12" ht="29.4" customHeight="1" thickBot="1" x14ac:dyDescent="0.35">
      <c r="A13" s="3">
        <v>1012</v>
      </c>
      <c r="B13" s="4" t="s">
        <v>37</v>
      </c>
      <c r="C13" s="4" t="s">
        <v>27</v>
      </c>
      <c r="D13" s="4" t="s">
        <v>32</v>
      </c>
      <c r="E13" s="3">
        <v>35</v>
      </c>
      <c r="F13" s="3">
        <v>8</v>
      </c>
      <c r="G13" s="5">
        <v>45311</v>
      </c>
      <c r="H13" s="7"/>
      <c r="I13" s="7">
        <f t="shared" si="0"/>
        <v>280</v>
      </c>
      <c r="J13" t="str">
        <f t="shared" ca="1" si="1"/>
        <v>=E13*F13</v>
      </c>
    </row>
    <row r="14" spans="1:12" ht="29.4" customHeight="1" thickBot="1" x14ac:dyDescent="0.35">
      <c r="A14" s="3">
        <v>1013</v>
      </c>
      <c r="B14" s="4" t="s">
        <v>38</v>
      </c>
      <c r="C14" s="4" t="s">
        <v>18</v>
      </c>
      <c r="D14" s="4" t="s">
        <v>19</v>
      </c>
      <c r="E14" s="3">
        <v>14</v>
      </c>
      <c r="F14" s="3">
        <v>50</v>
      </c>
      <c r="G14" s="5">
        <v>45313</v>
      </c>
      <c r="H14" s="7"/>
      <c r="I14" s="7">
        <f t="shared" si="0"/>
        <v>700</v>
      </c>
      <c r="J14" t="str">
        <f t="shared" ca="1" si="1"/>
        <v>=E14*F14</v>
      </c>
    </row>
    <row r="15" spans="1:12" ht="29.4" customHeight="1" thickBot="1" x14ac:dyDescent="0.35">
      <c r="A15" s="3">
        <v>1014</v>
      </c>
      <c r="B15" s="4" t="s">
        <v>39</v>
      </c>
      <c r="C15" s="4" t="s">
        <v>21</v>
      </c>
      <c r="D15" s="4" t="s">
        <v>22</v>
      </c>
      <c r="E15" s="3">
        <v>28</v>
      </c>
      <c r="F15" s="3">
        <v>10</v>
      </c>
      <c r="G15" s="5">
        <v>45314</v>
      </c>
      <c r="H15" s="7"/>
      <c r="I15" s="7">
        <f t="shared" si="0"/>
        <v>280</v>
      </c>
      <c r="J15" t="str">
        <f t="shared" ca="1" si="1"/>
        <v>=E15*F15</v>
      </c>
    </row>
    <row r="16" spans="1:12" ht="29.4" customHeight="1" thickBot="1" x14ac:dyDescent="0.35">
      <c r="A16" s="3">
        <v>1015</v>
      </c>
      <c r="B16" s="4" t="s">
        <v>40</v>
      </c>
      <c r="C16" s="4" t="s">
        <v>24</v>
      </c>
      <c r="D16" s="4" t="s">
        <v>25</v>
      </c>
      <c r="E16" s="3">
        <v>12</v>
      </c>
      <c r="F16" s="3">
        <v>25</v>
      </c>
      <c r="G16" s="5">
        <v>45315</v>
      </c>
      <c r="H16" s="7"/>
      <c r="I16" s="7">
        <f t="shared" si="0"/>
        <v>300</v>
      </c>
      <c r="J16" t="str">
        <f t="shared" ca="1" si="1"/>
        <v>=E16*F16</v>
      </c>
    </row>
    <row r="17" spans="1:10" ht="29.4" customHeight="1" thickBot="1" x14ac:dyDescent="0.35">
      <c r="A17" s="3">
        <v>1016</v>
      </c>
      <c r="B17" s="4" t="s">
        <v>41</v>
      </c>
      <c r="C17" s="4" t="s">
        <v>27</v>
      </c>
      <c r="D17" s="4" t="s">
        <v>29</v>
      </c>
      <c r="E17" s="3">
        <v>25</v>
      </c>
      <c r="F17" s="3">
        <v>5</v>
      </c>
      <c r="G17" s="5">
        <v>45317</v>
      </c>
      <c r="H17" s="7"/>
      <c r="I17" s="7">
        <f t="shared" si="0"/>
        <v>125</v>
      </c>
      <c r="J17" t="str">
        <f t="shared" ca="1" si="1"/>
        <v>=E17*F17</v>
      </c>
    </row>
    <row r="18" spans="1:10" ht="29.4" customHeight="1" thickBot="1" x14ac:dyDescent="0.35">
      <c r="A18" s="3">
        <v>1017</v>
      </c>
      <c r="B18" s="4" t="s">
        <v>42</v>
      </c>
      <c r="C18" s="4" t="s">
        <v>18</v>
      </c>
      <c r="D18" s="4" t="s">
        <v>32</v>
      </c>
      <c r="E18" s="3">
        <v>20</v>
      </c>
      <c r="F18" s="3">
        <v>8</v>
      </c>
      <c r="G18" s="5">
        <v>45319</v>
      </c>
      <c r="H18" s="7"/>
      <c r="I18" s="7">
        <f t="shared" si="0"/>
        <v>160</v>
      </c>
      <c r="J18" t="str">
        <f t="shared" ca="1" si="1"/>
        <v>=E18*F18</v>
      </c>
    </row>
    <row r="19" spans="1:10" ht="29.4" customHeight="1" thickBot="1" x14ac:dyDescent="0.35">
      <c r="A19" s="3">
        <v>1018</v>
      </c>
      <c r="B19" s="4" t="s">
        <v>43</v>
      </c>
      <c r="C19" s="4" t="s">
        <v>21</v>
      </c>
      <c r="D19" s="4" t="s">
        <v>19</v>
      </c>
      <c r="E19" s="3">
        <v>10</v>
      </c>
      <c r="F19" s="3">
        <v>50</v>
      </c>
      <c r="G19" s="5">
        <v>45320</v>
      </c>
      <c r="H19" s="7"/>
      <c r="I19" s="7">
        <f t="shared" si="0"/>
        <v>500</v>
      </c>
      <c r="J19" t="str">
        <f t="shared" ca="1" si="1"/>
        <v>=E19*F19</v>
      </c>
    </row>
    <row r="20" spans="1:10" ht="29.4" customHeight="1" thickBot="1" x14ac:dyDescent="0.35">
      <c r="A20" s="3">
        <v>1019</v>
      </c>
      <c r="B20" s="4" t="s">
        <v>44</v>
      </c>
      <c r="C20" s="4" t="s">
        <v>24</v>
      </c>
      <c r="D20" s="4" t="s">
        <v>22</v>
      </c>
      <c r="E20" s="3">
        <v>15</v>
      </c>
      <c r="F20" s="3">
        <v>10</v>
      </c>
      <c r="G20" s="5">
        <v>45321</v>
      </c>
      <c r="H20" s="7"/>
      <c r="I20" s="7">
        <f t="shared" si="0"/>
        <v>150</v>
      </c>
      <c r="J20" t="str">
        <f t="shared" ca="1" si="1"/>
        <v>=E20*F20</v>
      </c>
    </row>
    <row r="21" spans="1:10" ht="29.4" customHeight="1" thickBot="1" x14ac:dyDescent="0.35">
      <c r="A21" s="3">
        <v>1020</v>
      </c>
      <c r="B21" s="4" t="s">
        <v>45</v>
      </c>
      <c r="C21" s="4" t="s">
        <v>27</v>
      </c>
      <c r="D21" s="4" t="s">
        <v>25</v>
      </c>
      <c r="E21" s="3">
        <v>18</v>
      </c>
      <c r="F21" s="3">
        <v>25</v>
      </c>
      <c r="G21" s="5">
        <v>45323</v>
      </c>
      <c r="H21" s="7"/>
      <c r="I21" s="7">
        <f t="shared" si="0"/>
        <v>450</v>
      </c>
      <c r="J21" t="str">
        <f t="shared" ca="1" si="1"/>
        <v>=E21*F21</v>
      </c>
    </row>
    <row r="22" spans="1:10" ht="29.4" customHeight="1" thickBot="1" x14ac:dyDescent="0.35">
      <c r="A22" s="3">
        <v>1021</v>
      </c>
      <c r="B22" s="4" t="s">
        <v>46</v>
      </c>
      <c r="C22" s="4" t="s">
        <v>18</v>
      </c>
      <c r="D22" s="4" t="s">
        <v>19</v>
      </c>
      <c r="E22" s="3">
        <v>9</v>
      </c>
      <c r="F22" s="3">
        <v>50</v>
      </c>
      <c r="G22" s="5">
        <v>45324</v>
      </c>
      <c r="H22" s="7"/>
      <c r="I22" s="7">
        <f t="shared" si="0"/>
        <v>450</v>
      </c>
      <c r="J22" t="str">
        <f t="shared" ca="1" si="1"/>
        <v>=E22*F22</v>
      </c>
    </row>
    <row r="23" spans="1:10" ht="29.4" customHeight="1" thickBot="1" x14ac:dyDescent="0.35">
      <c r="A23" s="3">
        <v>1022</v>
      </c>
      <c r="B23" s="4" t="s">
        <v>47</v>
      </c>
      <c r="C23" s="4" t="s">
        <v>21</v>
      </c>
      <c r="D23" s="4" t="s">
        <v>29</v>
      </c>
      <c r="E23" s="3">
        <v>35</v>
      </c>
      <c r="F23" s="3">
        <v>5</v>
      </c>
      <c r="G23" s="5">
        <v>45325</v>
      </c>
      <c r="H23" s="7"/>
      <c r="I23" s="7">
        <f t="shared" si="0"/>
        <v>175</v>
      </c>
      <c r="J23" t="str">
        <f t="shared" ca="1" si="1"/>
        <v>=E23*F23</v>
      </c>
    </row>
    <row r="24" spans="1:10" ht="29.4" customHeight="1" thickBot="1" x14ac:dyDescent="0.35">
      <c r="A24" s="3">
        <v>1023</v>
      </c>
      <c r="B24" s="4" t="s">
        <v>48</v>
      </c>
      <c r="C24" s="4" t="s">
        <v>24</v>
      </c>
      <c r="D24" s="4" t="s">
        <v>32</v>
      </c>
      <c r="E24" s="3">
        <v>30</v>
      </c>
      <c r="F24" s="3">
        <v>8</v>
      </c>
      <c r="G24" s="5">
        <v>45326</v>
      </c>
      <c r="H24" s="7"/>
      <c r="I24" s="7">
        <f t="shared" si="0"/>
        <v>240</v>
      </c>
      <c r="J24" t="str">
        <f t="shared" ca="1" si="1"/>
        <v>=E24*F24</v>
      </c>
    </row>
    <row r="25" spans="1:10" ht="29.4" customHeight="1" thickBot="1" x14ac:dyDescent="0.35">
      <c r="A25" s="3">
        <v>1024</v>
      </c>
      <c r="B25" s="4" t="s">
        <v>49</v>
      </c>
      <c r="C25" s="4" t="s">
        <v>27</v>
      </c>
      <c r="D25" s="4" t="s">
        <v>19</v>
      </c>
      <c r="E25" s="3">
        <v>11</v>
      </c>
      <c r="F25" s="3">
        <v>50</v>
      </c>
      <c r="G25" s="5">
        <v>45328</v>
      </c>
      <c r="H25" s="7"/>
      <c r="I25" s="7">
        <f t="shared" si="0"/>
        <v>550</v>
      </c>
      <c r="J25" t="str">
        <f t="shared" ca="1" si="1"/>
        <v>=E25*F25</v>
      </c>
    </row>
    <row r="26" spans="1:10" ht="29.4" customHeight="1" thickBot="1" x14ac:dyDescent="0.35">
      <c r="A26" s="3">
        <v>1025</v>
      </c>
      <c r="B26" s="4" t="s">
        <v>50</v>
      </c>
      <c r="C26" s="4" t="s">
        <v>18</v>
      </c>
      <c r="D26" s="4" t="s">
        <v>22</v>
      </c>
      <c r="E26" s="3">
        <v>14</v>
      </c>
      <c r="F26" s="3">
        <v>10</v>
      </c>
      <c r="G26" s="5">
        <v>45329</v>
      </c>
      <c r="H26" s="7"/>
      <c r="I26" s="7">
        <f t="shared" si="0"/>
        <v>140</v>
      </c>
      <c r="J26" t="str">
        <f t="shared" ca="1" si="1"/>
        <v>=E26*F26</v>
      </c>
    </row>
    <row r="27" spans="1:10" ht="29.4" customHeight="1" thickBot="1" x14ac:dyDescent="0.35">
      <c r="A27" s="3">
        <v>1026</v>
      </c>
      <c r="B27" s="4" t="s">
        <v>51</v>
      </c>
      <c r="C27" s="4" t="s">
        <v>21</v>
      </c>
      <c r="D27" s="4" t="s">
        <v>25</v>
      </c>
      <c r="E27" s="3">
        <v>16</v>
      </c>
      <c r="F27" s="3">
        <v>25</v>
      </c>
      <c r="G27" s="5">
        <v>45330</v>
      </c>
      <c r="H27" s="7"/>
      <c r="I27" s="7">
        <f t="shared" si="0"/>
        <v>400</v>
      </c>
      <c r="J27" t="str">
        <f t="shared" ca="1" si="1"/>
        <v>=E27*F27</v>
      </c>
    </row>
    <row r="28" spans="1:10" ht="29.4" customHeight="1" thickBot="1" x14ac:dyDescent="0.35">
      <c r="A28" s="3">
        <v>1027</v>
      </c>
      <c r="B28" s="4" t="s">
        <v>52</v>
      </c>
      <c r="C28" s="4" t="s">
        <v>24</v>
      </c>
      <c r="D28" s="4" t="s">
        <v>29</v>
      </c>
      <c r="E28" s="3">
        <v>22</v>
      </c>
      <c r="F28" s="3">
        <v>5</v>
      </c>
      <c r="G28" s="5">
        <v>45331</v>
      </c>
      <c r="H28" s="7"/>
      <c r="I28" s="7">
        <f t="shared" si="0"/>
        <v>110</v>
      </c>
      <c r="J28" t="str">
        <f t="shared" ca="1" si="1"/>
        <v>=E28*F28</v>
      </c>
    </row>
    <row r="29" spans="1:10" ht="29.4" customHeight="1" thickBot="1" x14ac:dyDescent="0.35">
      <c r="A29" s="3">
        <v>1028</v>
      </c>
      <c r="B29" s="4" t="s">
        <v>53</v>
      </c>
      <c r="C29" s="4" t="s">
        <v>27</v>
      </c>
      <c r="D29" s="4" t="s">
        <v>32</v>
      </c>
      <c r="E29" s="3">
        <v>27</v>
      </c>
      <c r="F29" s="3">
        <v>8</v>
      </c>
      <c r="G29" s="5">
        <v>45332</v>
      </c>
      <c r="H29" s="7"/>
      <c r="I29" s="7">
        <f t="shared" si="0"/>
        <v>216</v>
      </c>
      <c r="J29" t="str">
        <f t="shared" ca="1" si="1"/>
        <v>=E29*F29</v>
      </c>
    </row>
    <row r="30" spans="1:10" ht="29.4" customHeight="1" thickBot="1" x14ac:dyDescent="0.35">
      <c r="A30" s="3">
        <v>1029</v>
      </c>
      <c r="B30" s="4" t="s">
        <v>54</v>
      </c>
      <c r="C30" s="4" t="s">
        <v>18</v>
      </c>
      <c r="D30" s="4" t="s">
        <v>19</v>
      </c>
      <c r="E30" s="3">
        <v>13</v>
      </c>
      <c r="F30" s="3">
        <v>50</v>
      </c>
      <c r="G30" s="5">
        <v>45334</v>
      </c>
      <c r="H30" s="7"/>
      <c r="I30" s="7">
        <f t="shared" si="0"/>
        <v>650</v>
      </c>
      <c r="J30" t="str">
        <f t="shared" ca="1" si="1"/>
        <v>=E30*F30</v>
      </c>
    </row>
    <row r="31" spans="1:10" ht="29.4" customHeight="1" thickBot="1" x14ac:dyDescent="0.35">
      <c r="A31" s="3">
        <v>1030</v>
      </c>
      <c r="B31" s="4" t="s">
        <v>55</v>
      </c>
      <c r="C31" s="4" t="s">
        <v>21</v>
      </c>
      <c r="D31" s="4" t="s">
        <v>22</v>
      </c>
      <c r="E31" s="3">
        <v>32</v>
      </c>
      <c r="F31" s="3">
        <v>10</v>
      </c>
      <c r="G31" s="5">
        <v>45335</v>
      </c>
      <c r="H31" s="7"/>
      <c r="I31" s="7">
        <f t="shared" si="0"/>
        <v>320</v>
      </c>
      <c r="J31" t="str">
        <f t="shared" ca="1" si="1"/>
        <v>=E31*F31</v>
      </c>
    </row>
    <row r="32" spans="1:10" ht="29.4" customHeight="1" thickBot="1" x14ac:dyDescent="0.35">
      <c r="A32" s="3">
        <v>1031</v>
      </c>
      <c r="B32" s="4" t="s">
        <v>56</v>
      </c>
      <c r="C32" s="4" t="s">
        <v>24</v>
      </c>
      <c r="D32" s="4" t="s">
        <v>25</v>
      </c>
      <c r="E32" s="3">
        <v>10</v>
      </c>
      <c r="F32" s="3">
        <v>25</v>
      </c>
      <c r="G32" s="5">
        <v>45336</v>
      </c>
      <c r="H32" s="7"/>
      <c r="I32" s="7">
        <f t="shared" si="0"/>
        <v>250</v>
      </c>
      <c r="J32" t="str">
        <f t="shared" ca="1" si="1"/>
        <v>=E32*F32</v>
      </c>
    </row>
    <row r="33" spans="1:10" ht="15" thickBot="1" x14ac:dyDescent="0.35">
      <c r="A33" s="3">
        <v>1032</v>
      </c>
      <c r="B33" s="4" t="s">
        <v>57</v>
      </c>
      <c r="C33" s="4" t="s">
        <v>27</v>
      </c>
      <c r="D33" s="4" t="s">
        <v>29</v>
      </c>
      <c r="E33" s="3">
        <v>18</v>
      </c>
      <c r="F33" s="3">
        <v>5</v>
      </c>
      <c r="G33" s="5">
        <v>45338</v>
      </c>
      <c r="H33" s="7"/>
      <c r="I33" s="7">
        <f t="shared" si="0"/>
        <v>90</v>
      </c>
      <c r="J33" t="str">
        <f t="shared" ca="1" si="1"/>
        <v>=E33*F33</v>
      </c>
    </row>
    <row r="34" spans="1:10" ht="29.4" customHeight="1" thickBot="1" x14ac:dyDescent="0.35">
      <c r="A34" s="3">
        <v>1033</v>
      </c>
      <c r="B34" s="4" t="s">
        <v>58</v>
      </c>
      <c r="C34" s="4" t="s">
        <v>18</v>
      </c>
      <c r="D34" s="4" t="s">
        <v>32</v>
      </c>
      <c r="E34" s="3">
        <v>22</v>
      </c>
      <c r="F34" s="3">
        <v>8</v>
      </c>
      <c r="G34" s="5">
        <v>45339</v>
      </c>
      <c r="H34" s="7"/>
      <c r="I34" s="7">
        <f t="shared" si="0"/>
        <v>176</v>
      </c>
      <c r="J34" t="str">
        <f t="shared" ca="1" si="1"/>
        <v>=E34*F34</v>
      </c>
    </row>
    <row r="35" spans="1:10" ht="29.4" customHeight="1" thickBot="1" x14ac:dyDescent="0.35">
      <c r="A35" s="3">
        <v>1034</v>
      </c>
      <c r="B35" s="4" t="s">
        <v>59</v>
      </c>
      <c r="C35" s="4" t="s">
        <v>21</v>
      </c>
      <c r="D35" s="4" t="s">
        <v>19</v>
      </c>
      <c r="E35" s="3">
        <v>17</v>
      </c>
      <c r="F35" s="3">
        <v>50</v>
      </c>
      <c r="G35" s="5">
        <v>45340</v>
      </c>
      <c r="H35" s="7"/>
      <c r="I35" s="7">
        <f t="shared" si="0"/>
        <v>850</v>
      </c>
      <c r="J35" t="str">
        <f t="shared" ca="1" si="1"/>
        <v>=E35*F35</v>
      </c>
    </row>
    <row r="36" spans="1:10" ht="15" thickBot="1" x14ac:dyDescent="0.35">
      <c r="A36" s="3">
        <v>1035</v>
      </c>
      <c r="B36" s="4" t="s">
        <v>60</v>
      </c>
      <c r="C36" s="4" t="s">
        <v>24</v>
      </c>
      <c r="D36" s="4" t="s">
        <v>22</v>
      </c>
      <c r="E36" s="3">
        <v>19</v>
      </c>
      <c r="F36" s="3">
        <v>10</v>
      </c>
      <c r="G36" s="5">
        <v>45341</v>
      </c>
      <c r="H36" s="7"/>
      <c r="I36" s="7">
        <f t="shared" si="0"/>
        <v>190</v>
      </c>
      <c r="J36" t="str">
        <f t="shared" ca="1" si="1"/>
        <v>=E36*F36</v>
      </c>
    </row>
    <row r="37" spans="1:10" ht="29.4" customHeight="1" thickBot="1" x14ac:dyDescent="0.35">
      <c r="A37" s="3">
        <v>1036</v>
      </c>
      <c r="B37" s="4" t="s">
        <v>61</v>
      </c>
      <c r="C37" s="4" t="s">
        <v>27</v>
      </c>
      <c r="D37" s="4" t="s">
        <v>25</v>
      </c>
      <c r="E37" s="3">
        <v>15</v>
      </c>
      <c r="F37" s="3">
        <v>25</v>
      </c>
      <c r="G37" s="5">
        <v>45343</v>
      </c>
      <c r="H37" s="7"/>
      <c r="I37" s="7">
        <f t="shared" si="0"/>
        <v>375</v>
      </c>
      <c r="J37" t="str">
        <f t="shared" ca="1" si="1"/>
        <v>=E37*F37</v>
      </c>
    </row>
    <row r="38" spans="1:10" ht="15" thickBot="1" x14ac:dyDescent="0.35">
      <c r="A38" s="3">
        <v>1037</v>
      </c>
      <c r="B38" s="4" t="s">
        <v>62</v>
      </c>
      <c r="C38" s="4" t="s">
        <v>18</v>
      </c>
      <c r="D38" s="4" t="s">
        <v>29</v>
      </c>
      <c r="E38" s="3">
        <v>28</v>
      </c>
      <c r="F38" s="3">
        <v>5</v>
      </c>
      <c r="G38" s="5">
        <v>45344</v>
      </c>
      <c r="H38" s="7"/>
      <c r="I38" s="7">
        <f t="shared" si="0"/>
        <v>140</v>
      </c>
      <c r="J38" t="str">
        <f t="shared" ca="1" si="1"/>
        <v>=E38*F38</v>
      </c>
    </row>
    <row r="39" spans="1:10" ht="29.4" customHeight="1" thickBot="1" x14ac:dyDescent="0.35">
      <c r="A39" s="3">
        <v>1038</v>
      </c>
      <c r="B39" s="4" t="s">
        <v>63</v>
      </c>
      <c r="C39" s="4" t="s">
        <v>21</v>
      </c>
      <c r="D39" s="4" t="s">
        <v>32</v>
      </c>
      <c r="E39" s="3">
        <v>24</v>
      </c>
      <c r="F39" s="3">
        <v>8</v>
      </c>
      <c r="G39" s="5">
        <v>45345</v>
      </c>
      <c r="H39" s="7"/>
      <c r="I39" s="7">
        <f t="shared" si="0"/>
        <v>192</v>
      </c>
      <c r="J39" t="str">
        <f t="shared" ca="1" si="1"/>
        <v>=E39*F39</v>
      </c>
    </row>
    <row r="40" spans="1:10" ht="29.4" customHeight="1" thickBot="1" x14ac:dyDescent="0.35">
      <c r="A40" s="3">
        <v>1039</v>
      </c>
      <c r="B40" s="4" t="s">
        <v>64</v>
      </c>
      <c r="C40" s="4" t="s">
        <v>24</v>
      </c>
      <c r="D40" s="4" t="s">
        <v>19</v>
      </c>
      <c r="E40" s="3">
        <v>16</v>
      </c>
      <c r="F40" s="3">
        <v>50</v>
      </c>
      <c r="G40" s="5">
        <v>45347</v>
      </c>
      <c r="H40" s="7"/>
      <c r="I40" s="7">
        <f t="shared" si="0"/>
        <v>800</v>
      </c>
      <c r="J40" t="str">
        <f t="shared" ca="1" si="1"/>
        <v>=E40*F40</v>
      </c>
    </row>
    <row r="41" spans="1:10" ht="29.4" customHeight="1" thickBot="1" x14ac:dyDescent="0.35">
      <c r="A41" s="3">
        <v>1040</v>
      </c>
      <c r="B41" s="4" t="s">
        <v>65</v>
      </c>
      <c r="C41" s="4" t="s">
        <v>27</v>
      </c>
      <c r="D41" s="4" t="s">
        <v>22</v>
      </c>
      <c r="E41" s="3">
        <v>27</v>
      </c>
      <c r="F41" s="3">
        <v>10</v>
      </c>
      <c r="G41" s="5">
        <v>45348</v>
      </c>
      <c r="H41" s="7"/>
      <c r="I41" s="7">
        <f t="shared" si="0"/>
        <v>270</v>
      </c>
      <c r="J41" t="str">
        <f t="shared" ca="1" si="1"/>
        <v>=E41*F41</v>
      </c>
    </row>
    <row r="42" spans="1:10" ht="29.4" customHeight="1" thickBot="1" x14ac:dyDescent="0.35">
      <c r="A42" s="3">
        <v>1041</v>
      </c>
      <c r="B42" s="4" t="s">
        <v>66</v>
      </c>
      <c r="C42" s="4" t="s">
        <v>18</v>
      </c>
      <c r="D42" s="4" t="s">
        <v>25</v>
      </c>
      <c r="E42" s="3">
        <v>21</v>
      </c>
      <c r="F42" s="3">
        <v>25</v>
      </c>
      <c r="G42" s="5">
        <v>45349</v>
      </c>
      <c r="H42" s="7"/>
      <c r="I42" s="7">
        <f t="shared" si="0"/>
        <v>525</v>
      </c>
      <c r="J42" t="str">
        <f t="shared" ca="1" si="1"/>
        <v>=E42*F42</v>
      </c>
    </row>
    <row r="43" spans="1:10" ht="29.4" customHeight="1" thickBot="1" x14ac:dyDescent="0.35">
      <c r="A43" s="3">
        <v>1042</v>
      </c>
      <c r="B43" s="4" t="s">
        <v>67</v>
      </c>
      <c r="C43" s="4" t="s">
        <v>21</v>
      </c>
      <c r="D43" s="4" t="s">
        <v>29</v>
      </c>
      <c r="E43" s="3">
        <v>30</v>
      </c>
      <c r="F43" s="3">
        <v>5</v>
      </c>
      <c r="G43" s="5">
        <v>45350</v>
      </c>
      <c r="H43" s="7"/>
      <c r="I43" s="7">
        <f t="shared" si="0"/>
        <v>150</v>
      </c>
      <c r="J43" t="str">
        <f t="shared" ca="1" si="1"/>
        <v>=E43*F43</v>
      </c>
    </row>
    <row r="44" spans="1:10" ht="29.4" customHeight="1" thickBot="1" x14ac:dyDescent="0.35">
      <c r="A44" s="3">
        <v>1043</v>
      </c>
      <c r="B44" s="4" t="s">
        <v>68</v>
      </c>
      <c r="C44" s="4" t="s">
        <v>24</v>
      </c>
      <c r="D44" s="4" t="s">
        <v>32</v>
      </c>
      <c r="E44" s="3">
        <v>26</v>
      </c>
      <c r="F44" s="3">
        <v>8</v>
      </c>
      <c r="G44" s="5">
        <v>45352</v>
      </c>
      <c r="H44" s="7"/>
      <c r="I44" s="7">
        <f t="shared" si="0"/>
        <v>208</v>
      </c>
      <c r="J44" t="str">
        <f t="shared" ca="1" si="1"/>
        <v>=E44*F44</v>
      </c>
    </row>
    <row r="45" spans="1:10" ht="29.4" customHeight="1" thickBot="1" x14ac:dyDescent="0.35">
      <c r="A45" s="3">
        <v>1044</v>
      </c>
      <c r="B45" s="4" t="s">
        <v>69</v>
      </c>
      <c r="C45" s="4" t="s">
        <v>27</v>
      </c>
      <c r="D45" s="4" t="s">
        <v>19</v>
      </c>
      <c r="E45" s="3">
        <v>14</v>
      </c>
      <c r="F45" s="3">
        <v>50</v>
      </c>
      <c r="G45" s="5">
        <v>45353</v>
      </c>
      <c r="H45" s="7"/>
      <c r="I45" s="7">
        <f t="shared" si="0"/>
        <v>700</v>
      </c>
      <c r="J45" t="str">
        <f t="shared" ca="1" si="1"/>
        <v>=E45*F45</v>
      </c>
    </row>
    <row r="46" spans="1:10" ht="29.4" customHeight="1" thickBot="1" x14ac:dyDescent="0.35">
      <c r="A46" s="3">
        <v>1045</v>
      </c>
      <c r="B46" s="4" t="s">
        <v>70</v>
      </c>
      <c r="C46" s="4" t="s">
        <v>18</v>
      </c>
      <c r="D46" s="4" t="s">
        <v>22</v>
      </c>
      <c r="E46" s="3">
        <v>20</v>
      </c>
      <c r="F46" s="3">
        <v>10</v>
      </c>
      <c r="G46" s="5">
        <v>45354</v>
      </c>
      <c r="H46" s="7"/>
      <c r="I46" s="7">
        <f t="shared" si="0"/>
        <v>200</v>
      </c>
      <c r="J46" t="str">
        <f t="shared" ca="1" si="1"/>
        <v>=E46*F46</v>
      </c>
    </row>
    <row r="47" spans="1:10" ht="29.4" customHeight="1" thickBot="1" x14ac:dyDescent="0.35">
      <c r="A47" s="3">
        <v>1046</v>
      </c>
      <c r="B47" s="4" t="s">
        <v>71</v>
      </c>
      <c r="C47" s="4" t="s">
        <v>21</v>
      </c>
      <c r="D47" s="4" t="s">
        <v>25</v>
      </c>
      <c r="E47" s="3">
        <v>17</v>
      </c>
      <c r="F47" s="3">
        <v>25</v>
      </c>
      <c r="G47" s="5">
        <v>45355</v>
      </c>
      <c r="H47" s="7"/>
      <c r="I47" s="7">
        <f t="shared" si="0"/>
        <v>425</v>
      </c>
      <c r="J47" t="str">
        <f t="shared" ca="1" si="1"/>
        <v>=E47*F47</v>
      </c>
    </row>
    <row r="48" spans="1:10" ht="29.4" customHeight="1" thickBot="1" x14ac:dyDescent="0.35">
      <c r="A48" s="3">
        <v>1047</v>
      </c>
      <c r="B48" s="4" t="s">
        <v>72</v>
      </c>
      <c r="C48" s="4" t="s">
        <v>24</v>
      </c>
      <c r="D48" s="4" t="s">
        <v>29</v>
      </c>
      <c r="E48" s="3">
        <v>19</v>
      </c>
      <c r="F48" s="3">
        <v>5</v>
      </c>
      <c r="G48" s="5">
        <v>45356</v>
      </c>
      <c r="H48" s="7"/>
      <c r="I48" s="7">
        <f t="shared" si="0"/>
        <v>95</v>
      </c>
      <c r="J48" t="str">
        <f t="shared" ca="1" si="1"/>
        <v>=E48*F48</v>
      </c>
    </row>
    <row r="49" spans="1:10" ht="29.4" customHeight="1" thickBot="1" x14ac:dyDescent="0.35">
      <c r="A49" s="3">
        <v>1048</v>
      </c>
      <c r="B49" s="4" t="s">
        <v>73</v>
      </c>
      <c r="C49" s="4" t="s">
        <v>27</v>
      </c>
      <c r="D49" s="4" t="s">
        <v>32</v>
      </c>
      <c r="E49" s="3">
        <v>32</v>
      </c>
      <c r="F49" s="3">
        <v>8</v>
      </c>
      <c r="G49" s="5">
        <v>45357</v>
      </c>
      <c r="H49" s="7"/>
      <c r="I49" s="7">
        <f t="shared" si="0"/>
        <v>256</v>
      </c>
      <c r="J49" t="str">
        <f t="shared" ca="1" si="1"/>
        <v>=E49*F49</v>
      </c>
    </row>
    <row r="50" spans="1:10" ht="29.4" customHeight="1" thickBot="1" x14ac:dyDescent="0.35">
      <c r="A50" s="3">
        <v>1049</v>
      </c>
      <c r="B50" s="4" t="s">
        <v>74</v>
      </c>
      <c r="C50" s="4" t="s">
        <v>18</v>
      </c>
      <c r="D50" s="4" t="s">
        <v>19</v>
      </c>
      <c r="E50" s="3">
        <v>12</v>
      </c>
      <c r="F50" s="3">
        <v>50</v>
      </c>
      <c r="G50" s="5">
        <v>45358</v>
      </c>
      <c r="H50" s="7"/>
      <c r="I50" s="7">
        <f t="shared" si="0"/>
        <v>600</v>
      </c>
      <c r="J50" t="str">
        <f t="shared" ca="1" si="1"/>
        <v>=E50*F50</v>
      </c>
    </row>
    <row r="51" spans="1:10" ht="29.4" customHeight="1" thickBot="1" x14ac:dyDescent="0.35">
      <c r="A51" s="3">
        <v>1050</v>
      </c>
      <c r="B51" s="4" t="s">
        <v>75</v>
      </c>
      <c r="C51" s="4" t="s">
        <v>21</v>
      </c>
      <c r="D51" s="4" t="s">
        <v>22</v>
      </c>
      <c r="E51" s="3">
        <v>25</v>
      </c>
      <c r="F51" s="3">
        <v>10</v>
      </c>
      <c r="G51" s="5">
        <v>45359</v>
      </c>
      <c r="H51" s="7"/>
      <c r="I51" s="7">
        <f t="shared" si="0"/>
        <v>250</v>
      </c>
      <c r="J51" t="str">
        <f t="shared" ca="1" si="1"/>
        <v>=E51*F51</v>
      </c>
    </row>
  </sheetData>
  <pageMargins left="0.7" right="0.7" top="0.75" bottom="0.75" header="0.3" footer="0.3"/>
  <ignoredErrors>
    <ignoredError sqref="K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768A-411E-4455-B718-43B2C7AA6E55}">
  <dimension ref="A3:B9"/>
  <sheetViews>
    <sheetView workbookViewId="0">
      <selection activeCell="E26" sqref="E26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9" t="s">
        <v>78</v>
      </c>
      <c r="B3" t="s">
        <v>80</v>
      </c>
    </row>
    <row r="4" spans="1:2" x14ac:dyDescent="0.3">
      <c r="A4" s="10" t="s">
        <v>32</v>
      </c>
      <c r="B4">
        <v>1928</v>
      </c>
    </row>
    <row r="5" spans="1:2" x14ac:dyDescent="0.3">
      <c r="A5" s="10" t="s">
        <v>25</v>
      </c>
      <c r="B5">
        <v>3650</v>
      </c>
    </row>
    <row r="6" spans="1:2" x14ac:dyDescent="0.3">
      <c r="A6" s="10" t="s">
        <v>19</v>
      </c>
      <c r="B6">
        <v>7550</v>
      </c>
    </row>
    <row r="7" spans="1:2" x14ac:dyDescent="0.3">
      <c r="A7" s="10" t="s">
        <v>22</v>
      </c>
      <c r="B7">
        <v>2180</v>
      </c>
    </row>
    <row r="8" spans="1:2" x14ac:dyDescent="0.3">
      <c r="A8" s="10" t="s">
        <v>29</v>
      </c>
      <c r="B8">
        <v>1235</v>
      </c>
    </row>
    <row r="9" spans="1:2" x14ac:dyDescent="0.3">
      <c r="A9" s="10" t="s">
        <v>79</v>
      </c>
      <c r="B9">
        <v>16543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6EEB-27FD-4A26-B540-EDA97E1A10B0}">
  <dimension ref="A3:B54"/>
  <sheetViews>
    <sheetView workbookViewId="0">
      <selection activeCell="I23" sqref="I2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9" t="s">
        <v>78</v>
      </c>
      <c r="B3" t="s">
        <v>80</v>
      </c>
    </row>
    <row r="4" spans="1:2" x14ac:dyDescent="0.3">
      <c r="A4" s="11">
        <v>45296</v>
      </c>
      <c r="B4">
        <v>500</v>
      </c>
    </row>
    <row r="5" spans="1:2" x14ac:dyDescent="0.3">
      <c r="A5" s="11">
        <v>45297</v>
      </c>
      <c r="B5">
        <v>200</v>
      </c>
    </row>
    <row r="6" spans="1:2" x14ac:dyDescent="0.3">
      <c r="A6" s="11">
        <v>45298</v>
      </c>
      <c r="B6">
        <v>375</v>
      </c>
    </row>
    <row r="7" spans="1:2" x14ac:dyDescent="0.3">
      <c r="A7" s="11">
        <v>45299</v>
      </c>
      <c r="B7">
        <v>250</v>
      </c>
    </row>
    <row r="8" spans="1:2" x14ac:dyDescent="0.3">
      <c r="A8" s="11">
        <v>45301</v>
      </c>
      <c r="B8">
        <v>150</v>
      </c>
    </row>
    <row r="9" spans="1:2" x14ac:dyDescent="0.3">
      <c r="A9" s="11">
        <v>45302</v>
      </c>
      <c r="B9">
        <v>600</v>
      </c>
    </row>
    <row r="10" spans="1:2" x14ac:dyDescent="0.3">
      <c r="A10" s="11">
        <v>45304</v>
      </c>
      <c r="B10">
        <v>200</v>
      </c>
    </row>
    <row r="11" spans="1:2" x14ac:dyDescent="0.3">
      <c r="A11" s="11">
        <v>45306</v>
      </c>
      <c r="B11">
        <v>180</v>
      </c>
    </row>
    <row r="12" spans="1:2" x14ac:dyDescent="0.3">
      <c r="A12" s="11">
        <v>45308</v>
      </c>
      <c r="B12">
        <v>550</v>
      </c>
    </row>
    <row r="13" spans="1:2" x14ac:dyDescent="0.3">
      <c r="A13" s="11">
        <v>45309</v>
      </c>
      <c r="B13">
        <v>400</v>
      </c>
    </row>
    <row r="14" spans="1:2" x14ac:dyDescent="0.3">
      <c r="A14" s="11">
        <v>45310</v>
      </c>
      <c r="B14">
        <v>200</v>
      </c>
    </row>
    <row r="15" spans="1:2" x14ac:dyDescent="0.3">
      <c r="A15" s="11">
        <v>45311</v>
      </c>
      <c r="B15">
        <v>280</v>
      </c>
    </row>
    <row r="16" spans="1:2" x14ac:dyDescent="0.3">
      <c r="A16" s="11">
        <v>45313</v>
      </c>
      <c r="B16">
        <v>700</v>
      </c>
    </row>
    <row r="17" spans="1:2" x14ac:dyDescent="0.3">
      <c r="A17" s="11">
        <v>45314</v>
      </c>
      <c r="B17">
        <v>280</v>
      </c>
    </row>
    <row r="18" spans="1:2" x14ac:dyDescent="0.3">
      <c r="A18" s="11">
        <v>45315</v>
      </c>
      <c r="B18">
        <v>300</v>
      </c>
    </row>
    <row r="19" spans="1:2" x14ac:dyDescent="0.3">
      <c r="A19" s="11">
        <v>45317</v>
      </c>
      <c r="B19">
        <v>125</v>
      </c>
    </row>
    <row r="20" spans="1:2" x14ac:dyDescent="0.3">
      <c r="A20" s="11">
        <v>45319</v>
      </c>
      <c r="B20">
        <v>160</v>
      </c>
    </row>
    <row r="21" spans="1:2" x14ac:dyDescent="0.3">
      <c r="A21" s="11">
        <v>45320</v>
      </c>
      <c r="B21">
        <v>500</v>
      </c>
    </row>
    <row r="22" spans="1:2" x14ac:dyDescent="0.3">
      <c r="A22" s="11">
        <v>45321</v>
      </c>
      <c r="B22">
        <v>150</v>
      </c>
    </row>
    <row r="23" spans="1:2" x14ac:dyDescent="0.3">
      <c r="A23" s="11">
        <v>45323</v>
      </c>
      <c r="B23">
        <v>450</v>
      </c>
    </row>
    <row r="24" spans="1:2" x14ac:dyDescent="0.3">
      <c r="A24" s="11">
        <v>45324</v>
      </c>
      <c r="B24">
        <v>450</v>
      </c>
    </row>
    <row r="25" spans="1:2" x14ac:dyDescent="0.3">
      <c r="A25" s="11">
        <v>45325</v>
      </c>
      <c r="B25">
        <v>175</v>
      </c>
    </row>
    <row r="26" spans="1:2" x14ac:dyDescent="0.3">
      <c r="A26" s="11">
        <v>45326</v>
      </c>
      <c r="B26">
        <v>240</v>
      </c>
    </row>
    <row r="27" spans="1:2" x14ac:dyDescent="0.3">
      <c r="A27" s="11">
        <v>45328</v>
      </c>
      <c r="B27">
        <v>550</v>
      </c>
    </row>
    <row r="28" spans="1:2" x14ac:dyDescent="0.3">
      <c r="A28" s="11">
        <v>45329</v>
      </c>
      <c r="B28">
        <v>140</v>
      </c>
    </row>
    <row r="29" spans="1:2" x14ac:dyDescent="0.3">
      <c r="A29" s="11">
        <v>45330</v>
      </c>
      <c r="B29">
        <v>400</v>
      </c>
    </row>
    <row r="30" spans="1:2" x14ac:dyDescent="0.3">
      <c r="A30" s="11">
        <v>45331</v>
      </c>
      <c r="B30">
        <v>110</v>
      </c>
    </row>
    <row r="31" spans="1:2" x14ac:dyDescent="0.3">
      <c r="A31" s="11">
        <v>45332</v>
      </c>
      <c r="B31">
        <v>216</v>
      </c>
    </row>
    <row r="32" spans="1:2" x14ac:dyDescent="0.3">
      <c r="A32" s="11">
        <v>45334</v>
      </c>
      <c r="B32">
        <v>650</v>
      </c>
    </row>
    <row r="33" spans="1:2" x14ac:dyDescent="0.3">
      <c r="A33" s="11">
        <v>45335</v>
      </c>
      <c r="B33">
        <v>320</v>
      </c>
    </row>
    <row r="34" spans="1:2" x14ac:dyDescent="0.3">
      <c r="A34" s="11">
        <v>45336</v>
      </c>
      <c r="B34">
        <v>250</v>
      </c>
    </row>
    <row r="35" spans="1:2" x14ac:dyDescent="0.3">
      <c r="A35" s="11">
        <v>45338</v>
      </c>
      <c r="B35">
        <v>90</v>
      </c>
    </row>
    <row r="36" spans="1:2" x14ac:dyDescent="0.3">
      <c r="A36" s="11">
        <v>45339</v>
      </c>
      <c r="B36">
        <v>176</v>
      </c>
    </row>
    <row r="37" spans="1:2" x14ac:dyDescent="0.3">
      <c r="A37" s="11">
        <v>45340</v>
      </c>
      <c r="B37">
        <v>850</v>
      </c>
    </row>
    <row r="38" spans="1:2" x14ac:dyDescent="0.3">
      <c r="A38" s="11">
        <v>45341</v>
      </c>
      <c r="B38">
        <v>190</v>
      </c>
    </row>
    <row r="39" spans="1:2" x14ac:dyDescent="0.3">
      <c r="A39" s="11">
        <v>45343</v>
      </c>
      <c r="B39">
        <v>375</v>
      </c>
    </row>
    <row r="40" spans="1:2" x14ac:dyDescent="0.3">
      <c r="A40" s="11">
        <v>45344</v>
      </c>
      <c r="B40">
        <v>140</v>
      </c>
    </row>
    <row r="41" spans="1:2" x14ac:dyDescent="0.3">
      <c r="A41" s="11">
        <v>45345</v>
      </c>
      <c r="B41">
        <v>192</v>
      </c>
    </row>
    <row r="42" spans="1:2" x14ac:dyDescent="0.3">
      <c r="A42" s="11">
        <v>45347</v>
      </c>
      <c r="B42">
        <v>800</v>
      </c>
    </row>
    <row r="43" spans="1:2" x14ac:dyDescent="0.3">
      <c r="A43" s="11">
        <v>45348</v>
      </c>
      <c r="B43">
        <v>270</v>
      </c>
    </row>
    <row r="44" spans="1:2" x14ac:dyDescent="0.3">
      <c r="A44" s="11">
        <v>45349</v>
      </c>
      <c r="B44">
        <v>525</v>
      </c>
    </row>
    <row r="45" spans="1:2" x14ac:dyDescent="0.3">
      <c r="A45" s="11">
        <v>45350</v>
      </c>
      <c r="B45">
        <v>150</v>
      </c>
    </row>
    <row r="46" spans="1:2" x14ac:dyDescent="0.3">
      <c r="A46" s="11">
        <v>45352</v>
      </c>
      <c r="B46">
        <v>208</v>
      </c>
    </row>
    <row r="47" spans="1:2" x14ac:dyDescent="0.3">
      <c r="A47" s="11">
        <v>45353</v>
      </c>
      <c r="B47">
        <v>700</v>
      </c>
    </row>
    <row r="48" spans="1:2" x14ac:dyDescent="0.3">
      <c r="A48" s="11">
        <v>45354</v>
      </c>
      <c r="B48">
        <v>200</v>
      </c>
    </row>
    <row r="49" spans="1:2" x14ac:dyDescent="0.3">
      <c r="A49" s="11">
        <v>45355</v>
      </c>
      <c r="B49">
        <v>425</v>
      </c>
    </row>
    <row r="50" spans="1:2" x14ac:dyDescent="0.3">
      <c r="A50" s="11">
        <v>45356</v>
      </c>
      <c r="B50">
        <v>95</v>
      </c>
    </row>
    <row r="51" spans="1:2" x14ac:dyDescent="0.3">
      <c r="A51" s="11">
        <v>45357</v>
      </c>
      <c r="B51">
        <v>256</v>
      </c>
    </row>
    <row r="52" spans="1:2" x14ac:dyDescent="0.3">
      <c r="A52" s="11">
        <v>45358</v>
      </c>
      <c r="B52">
        <v>600</v>
      </c>
    </row>
    <row r="53" spans="1:2" x14ac:dyDescent="0.3">
      <c r="A53" s="11">
        <v>45359</v>
      </c>
      <c r="B53">
        <v>250</v>
      </c>
    </row>
    <row r="54" spans="1:2" x14ac:dyDescent="0.3">
      <c r="A54" s="11" t="s">
        <v>79</v>
      </c>
      <c r="B54">
        <v>16543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</vt:lpstr>
      <vt:lpstr>Q2</vt:lpstr>
      <vt:lpstr>Q3</vt:lpstr>
      <vt:lpstr>Q4-Q6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Kankani</dc:creator>
  <cp:lastModifiedBy>Aayushi Kankani</cp:lastModifiedBy>
  <dcterms:created xsi:type="dcterms:W3CDTF">2026-02-09T15:58:52Z</dcterms:created>
  <dcterms:modified xsi:type="dcterms:W3CDTF">2026-02-10T11:06:20Z</dcterms:modified>
</cp:coreProperties>
</file>